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Plan" sheetId="1" state="visible" r:id="rId3"/>
    <sheet name="Forecast" sheetId="2" state="visible" r:id="rId4"/>
    <sheet name="KPI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<sst xmlns="http://schemas.openxmlformats.org/spreadsheetml/2006/main" count="84" uniqueCount="76">
  <si>
    <t xml:space="preserve">FitNest Studio – Meta Ads Budget Plan (Hypothetical, 28-day campaign)</t>
  </si>
  <si>
    <t xml:space="preserve">Legend: blue text = editable inputs (days, daily budget). Black = formulas.</t>
  </si>
  <si>
    <t xml:space="preserve">Phase</t>
  </si>
  <si>
    <t xml:space="preserve">Ad Set</t>
  </si>
  <si>
    <t xml:space="preserve">Dates</t>
  </si>
  <si>
    <t xml:space="preserve">Days</t>
  </si>
  <si>
    <t xml:space="preserve">Daily Budget (₹)</t>
  </si>
  <si>
    <t xml:space="preserve">Total (₹)</t>
  </si>
  <si>
    <t xml:space="preserve">% of Budget</t>
  </si>
  <si>
    <t xml:space="preserve">Phase 1 – Test</t>
  </si>
  <si>
    <t xml:space="preserve">AS1: Broad Local (5 km)</t>
  </si>
  <si>
    <t xml:space="preserve">Day 1–7</t>
  </si>
  <si>
    <t xml:space="preserve">AS2: Fitness Interests (8 km)</t>
  </si>
  <si>
    <t xml:space="preserve">AS3: Working Professionals</t>
  </si>
  <si>
    <t xml:space="preserve">Phase 2 – Scale</t>
  </si>
  <si>
    <t xml:space="preserve">Winning prospecting ad set</t>
  </si>
  <si>
    <t xml:space="preserve">Day 8–28</t>
  </si>
  <si>
    <t xml:space="preserve">AS4: Retargeting (warm)</t>
  </si>
  <si>
    <t xml:space="preserve">Buffer</t>
  </si>
  <si>
    <t xml:space="preserve">Contingency (CPM spikes / creative refresh)</t>
  </si>
  <si>
    <t xml:space="preserve">Any</t>
  </si>
  <si>
    <t xml:space="preserve">TOTAL CAMPAIGN BUDGET</t>
  </si>
  <si>
    <t xml:space="preserve">Phase 1 subtotal</t>
  </si>
  <si>
    <t xml:space="preserve">Phase 2 subtotal</t>
  </si>
  <si>
    <t xml:space="preserve">Average daily spend (excl. buffer)</t>
  </si>
  <si>
    <t xml:space="preserve">Rule: Phase 1 uses equal budgets per ad set (ABO) so each audience gets a fair test. After Day 7, the ad set with the lowest CPL moves to Phase 2.</t>
  </si>
  <si>
    <t xml:space="preserve">Performance Forecast (assumptions are estimates for planning, not real data)</t>
  </si>
  <si>
    <t xml:space="preserve">Metric</t>
  </si>
  <si>
    <t xml:space="preserve">Value</t>
  </si>
  <si>
    <t xml:space="preserve">Note</t>
  </si>
  <si>
    <t xml:space="preserve">Media spend (excl. buffer) (₹)</t>
  </si>
  <si>
    <t xml:space="preserve">Linked from Budget Plan</t>
  </si>
  <si>
    <t xml:space="preserve">Assumed CPM (₹)</t>
  </si>
  <si>
    <t xml:space="preserve">Assumption: typical local Tier-1 India fitness CPM range</t>
  </si>
  <si>
    <t xml:space="preserve">Impressions</t>
  </si>
  <si>
    <t xml:space="preserve">Spend ÷ CPM × 1000</t>
  </si>
  <si>
    <t xml:space="preserve">Assumed CTR (link)</t>
  </si>
  <si>
    <t xml:space="preserve">Assumption: 1.2% for an offer-led local ad</t>
  </si>
  <si>
    <t xml:space="preserve">Link clicks</t>
  </si>
  <si>
    <t xml:space="preserve">Impressions × CTR</t>
  </si>
  <si>
    <t xml:space="preserve">Assumed lead form conversion rate</t>
  </si>
  <si>
    <t xml:space="preserve">Assumption: 7% of clickers submit Instant Form</t>
  </si>
  <si>
    <t xml:space="preserve">Leads</t>
  </si>
  <si>
    <t xml:space="preserve">Clicks × form CVR</t>
  </si>
  <si>
    <t xml:space="preserve">Cost per lead (CPL) (₹)</t>
  </si>
  <si>
    <t xml:space="preserve">Target ≤ ₹150</t>
  </si>
  <si>
    <t xml:space="preserve">Assumed trial show-up rate</t>
  </si>
  <si>
    <t xml:space="preserve">Assumption: half the leads visit for the trial</t>
  </si>
  <si>
    <t xml:space="preserve">Trial visits</t>
  </si>
  <si>
    <t xml:space="preserve">Assumed trial → membership rate</t>
  </si>
  <si>
    <t xml:space="preserve">Assumption</t>
  </si>
  <si>
    <t xml:space="preserve">New members</t>
  </si>
  <si>
    <t xml:space="preserve">Avg. membership value, 1st month (₹)</t>
  </si>
  <si>
    <t xml:space="preserve">Assumption: hypothetical monthly fee</t>
  </si>
  <si>
    <t xml:space="preserve">Revenue, 1st month (₹)</t>
  </si>
  <si>
    <t xml:space="preserve">Cost per acquired member (₹)</t>
  </si>
  <si>
    <t xml:space="preserve">ROAS (1st month)</t>
  </si>
  <si>
    <t xml:space="preserve">Revenue ÷ spend (higher over member lifetime)</t>
  </si>
  <si>
    <t xml:space="preserve">Weekly KPI Tracker – fill in from Meta Ads Manager (Reporting &gt; Export)</t>
  </si>
  <si>
    <t xml:space="preserve">Week</t>
  </si>
  <si>
    <t xml:space="preserve">Spend (₹)</t>
  </si>
  <si>
    <t xml:space="preserve">Reach</t>
  </si>
  <si>
    <t xml:space="preserve">Link Clicks</t>
  </si>
  <si>
    <t xml:space="preserve">CTR</t>
  </si>
  <si>
    <t xml:space="preserve">CPC (₹)</t>
  </si>
  <si>
    <t xml:space="preserve">CPM (₹)</t>
  </si>
  <si>
    <t xml:space="preserve">CPL (₹)</t>
  </si>
  <si>
    <t xml:space="preserve">Frequency</t>
  </si>
  <si>
    <t xml:space="preserve">Decision / Notes</t>
  </si>
  <si>
    <t xml:space="preserve">Example (Wk 1)</t>
  </si>
  <si>
    <t xml:space="preserve">Example row: illustrative numbers only. Delete it once real data comes in.</t>
  </si>
  <si>
    <t xml:space="preserve">Week 1</t>
  </si>
  <si>
    <t xml:space="preserve">Week 2</t>
  </si>
  <si>
    <t xml:space="preserve">Week 3</t>
  </si>
  <si>
    <t xml:space="preserve">Week 4</t>
  </si>
  <si>
    <t xml:space="preserve">Targets: CTR ≥ 1% · CPL ≤ ₹150 · CPM ≤ ₹150 · Frequency ≤ 3 per week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</si>
</sst>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;&quot;(₹&quot;#,##0\);\-"/>
    <numFmt numFmtId="166" formatCode="0.0%"/>
    <numFmt numFmtId="167" formatCode="#,##0"/>
    <numFmt numFmtId="168" formatCode="0%"/>
    <numFmt numFmtId="169" formatCode="0.00\x"/>
    <numFmt numFmtId="170" formatCode="0.00%"/>
    <numFmt numFmtId="171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83E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118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5" t="n">
        <v>7</v>
      </c>
      <c r="E5" s="6" t="n">
        <v>200</v>
      </c>
      <c r="F5" s="7" t="n">
        <f aca="false">D5*E5</f>
        <v>1400</v>
      </c>
      <c r="G5" s="8" t="n">
        <f aca="false">IFERROR(F5/$F$12,0)</f>
        <v>0.0933333333333333</v>
      </c>
    </row>
    <row r="6" customFormat="false" ht="15" hidden="false" customHeight="false" outlineLevel="0" collapsed="false">
      <c r="A6" s="4" t="s">
        <v>9</v>
      </c>
      <c r="B6" s="4" t="s">
        <v>12</v>
      </c>
      <c r="C6" s="4" t="s">
        <v>11</v>
      </c>
      <c r="D6" s="5" t="n">
        <v>7</v>
      </c>
      <c r="E6" s="6" t="n">
        <v>200</v>
      </c>
      <c r="F6" s="7" t="n">
        <f aca="false">D6*E6</f>
        <v>1400</v>
      </c>
      <c r="G6" s="8" t="n">
        <f aca="false">IFERROR(F6/$F$12,0)</f>
        <v>0.0933333333333333</v>
      </c>
    </row>
    <row r="7" customFormat="false" ht="15" hidden="false" customHeight="false" outlineLevel="0" collapsed="false">
      <c r="A7" s="4" t="s">
        <v>9</v>
      </c>
      <c r="B7" s="4" t="s">
        <v>13</v>
      </c>
      <c r="C7" s="4" t="s">
        <v>11</v>
      </c>
      <c r="D7" s="5" t="n">
        <v>7</v>
      </c>
      <c r="E7" s="6" t="n">
        <v>200</v>
      </c>
      <c r="F7" s="7" t="n">
        <f aca="false">D7*E7</f>
        <v>1400</v>
      </c>
      <c r="G7" s="8" t="n">
        <f aca="false">IFERROR(F7/$F$12,0)</f>
        <v>0.0933333333333333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  <c r="D8" s="5" t="n">
        <v>21</v>
      </c>
      <c r="E8" s="6" t="n">
        <v>350</v>
      </c>
      <c r="F8" s="7" t="n">
        <f aca="false">D8*E8</f>
        <v>7350</v>
      </c>
      <c r="G8" s="8" t="n">
        <f aca="false">IFERROR(F8/$F$12,0)</f>
        <v>0.49</v>
      </c>
    </row>
    <row r="9" customFormat="false" ht="15" hidden="false" customHeight="false" outlineLevel="0" collapsed="false">
      <c r="A9" s="4" t="s">
        <v>14</v>
      </c>
      <c r="B9" s="4" t="s">
        <v>17</v>
      </c>
      <c r="C9" s="4" t="s">
        <v>16</v>
      </c>
      <c r="D9" s="5" t="n">
        <v>21</v>
      </c>
      <c r="E9" s="6" t="n">
        <v>150</v>
      </c>
      <c r="F9" s="7" t="n">
        <f aca="false">D9*E9</f>
        <v>3150</v>
      </c>
      <c r="G9" s="8" t="n">
        <f aca="false">IFERROR(F9/$F$12,0)</f>
        <v>0.21</v>
      </c>
    </row>
    <row r="10" customFormat="false" ht="15" hidden="false" customHeight="false" outlineLevel="0" collapsed="false">
      <c r="A10" s="4" t="s">
        <v>18</v>
      </c>
      <c r="B10" s="4" t="s">
        <v>19</v>
      </c>
      <c r="C10" s="4" t="s">
        <v>20</v>
      </c>
      <c r="D10" s="5" t="n">
        <v>1</v>
      </c>
      <c r="E10" s="6" t="n">
        <v>300</v>
      </c>
      <c r="F10" s="7" t="n">
        <f aca="false">D10*E10</f>
        <v>300</v>
      </c>
      <c r="G10" s="8" t="n">
        <f aca="false">IFERROR(F10/$F$12,0)</f>
        <v>0.02</v>
      </c>
    </row>
    <row r="12" customFormat="false" ht="15" hidden="false" customHeight="false" outlineLevel="0" collapsed="false">
      <c r="A12" s="9" t="s">
        <v>21</v>
      </c>
      <c r="F12" s="10" t="n">
        <f aca="false">SUM(F5:F10)</f>
        <v>15000</v>
      </c>
      <c r="G12" s="11" t="n">
        <f aca="false">SUM(G5:G10)</f>
        <v>1</v>
      </c>
    </row>
    <row r="14" customFormat="false" ht="15" hidden="false" customHeight="false" outlineLevel="0" collapsed="false">
      <c r="A14" s="12" t="s">
        <v>22</v>
      </c>
      <c r="F14" s="13" t="n">
        <f aca="false">SUM(F5:F7)</f>
        <v>4200</v>
      </c>
    </row>
    <row r="15" customFormat="false" ht="15" hidden="false" customHeight="false" outlineLevel="0" collapsed="false">
      <c r="A15" s="12" t="s">
        <v>23</v>
      </c>
      <c r="F15" s="13" t="n">
        <f aca="false">SUM(F8:F9)</f>
        <v>10500</v>
      </c>
    </row>
    <row r="16" customFormat="false" ht="15" hidden="false" customHeight="false" outlineLevel="0" collapsed="false">
      <c r="A16" s="12" t="s">
        <v>24</v>
      </c>
      <c r="F16" s="13" t="n">
        <f aca="false">(F14+F15)/28</f>
        <v>525</v>
      </c>
    </row>
    <row r="18" customFormat="false" ht="15" hidden="false" customHeight="false" outlineLevel="0" collapsed="false">
      <c r="A18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6.15" hidden="false" customHeight="false" outlineLevel="0" collapsed="false">
      <c r="A1" s="14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29</v>
      </c>
    </row>
    <row r="4" customFormat="false" ht="15" hidden="false" customHeight="false" outlineLevel="0" collapsed="false">
      <c r="A4" s="4" t="s">
        <v>30</v>
      </c>
      <c r="B4" s="7" t="n">
        <f aca="false">'Budget Plan'!F14+'Budget Plan'!F15</f>
        <v>14700</v>
      </c>
      <c r="C4" s="15" t="s">
        <v>31</v>
      </c>
    </row>
    <row r="5" customFormat="false" ht="15" hidden="false" customHeight="false" outlineLevel="0" collapsed="false">
      <c r="A5" s="4" t="s">
        <v>32</v>
      </c>
      <c r="B5" s="16" t="n">
        <v>120</v>
      </c>
      <c r="C5" s="15" t="s">
        <v>33</v>
      </c>
    </row>
    <row r="6" customFormat="false" ht="15" hidden="false" customHeight="false" outlineLevel="0" collapsed="false">
      <c r="A6" s="4" t="s">
        <v>34</v>
      </c>
      <c r="B6" s="17" t="n">
        <f aca="false">B4/B5*1000</f>
        <v>122500</v>
      </c>
      <c r="C6" s="15" t="s">
        <v>35</v>
      </c>
    </row>
    <row r="7" customFormat="false" ht="15" hidden="false" customHeight="false" outlineLevel="0" collapsed="false">
      <c r="A7" s="4" t="s">
        <v>36</v>
      </c>
      <c r="B7" s="18" t="n">
        <v>0.012</v>
      </c>
      <c r="C7" s="15" t="s">
        <v>37</v>
      </c>
    </row>
    <row r="8" customFormat="false" ht="15" hidden="false" customHeight="false" outlineLevel="0" collapsed="false">
      <c r="A8" s="4" t="s">
        <v>38</v>
      </c>
      <c r="B8" s="17" t="n">
        <f aca="false">B6*B7</f>
        <v>1470</v>
      </c>
      <c r="C8" s="15" t="s">
        <v>39</v>
      </c>
    </row>
    <row r="9" customFormat="false" ht="15" hidden="false" customHeight="false" outlineLevel="0" collapsed="false">
      <c r="A9" s="4" t="s">
        <v>40</v>
      </c>
      <c r="B9" s="18" t="n">
        <v>0.07</v>
      </c>
      <c r="C9" s="15" t="s">
        <v>41</v>
      </c>
    </row>
    <row r="10" customFormat="false" ht="15" hidden="false" customHeight="false" outlineLevel="0" collapsed="false">
      <c r="A10" s="4" t="s">
        <v>42</v>
      </c>
      <c r="B10" s="17" t="n">
        <f aca="false">B8*B9</f>
        <v>102.9</v>
      </c>
      <c r="C10" s="15" t="s">
        <v>43</v>
      </c>
    </row>
    <row r="11" customFormat="false" ht="15" hidden="false" customHeight="false" outlineLevel="0" collapsed="false">
      <c r="A11" s="4" t="s">
        <v>44</v>
      </c>
      <c r="B11" s="7" t="n">
        <f aca="false">IFERROR(B4/B10,0)</f>
        <v>142.857142857143</v>
      </c>
      <c r="C11" s="15" t="s">
        <v>45</v>
      </c>
    </row>
    <row r="12" customFormat="false" ht="15" hidden="false" customHeight="false" outlineLevel="0" collapsed="false">
      <c r="A12" s="4" t="s">
        <v>46</v>
      </c>
      <c r="B12" s="19" t="n">
        <v>0.5</v>
      </c>
      <c r="C12" s="15" t="s">
        <v>47</v>
      </c>
    </row>
    <row r="13" customFormat="false" ht="15" hidden="false" customHeight="false" outlineLevel="0" collapsed="false">
      <c r="A13" s="4" t="s">
        <v>48</v>
      </c>
      <c r="B13" s="17" t="n">
        <f aca="false">B10*B12</f>
        <v>51.45</v>
      </c>
      <c r="C13" s="15"/>
    </row>
    <row r="14" customFormat="false" ht="15" hidden="false" customHeight="false" outlineLevel="0" collapsed="false">
      <c r="A14" s="4" t="s">
        <v>49</v>
      </c>
      <c r="B14" s="19" t="n">
        <v>0.25</v>
      </c>
      <c r="C14" s="15" t="s">
        <v>50</v>
      </c>
    </row>
    <row r="15" customFormat="false" ht="15" hidden="false" customHeight="false" outlineLevel="0" collapsed="false">
      <c r="A15" s="4" t="s">
        <v>51</v>
      </c>
      <c r="B15" s="17" t="n">
        <f aca="false">B13*B14</f>
        <v>12.8625</v>
      </c>
      <c r="C15" s="15"/>
    </row>
    <row r="16" customFormat="false" ht="15" hidden="false" customHeight="false" outlineLevel="0" collapsed="false">
      <c r="A16" s="4" t="s">
        <v>52</v>
      </c>
      <c r="B16" s="16" t="n">
        <v>2500</v>
      </c>
      <c r="C16" s="15" t="s">
        <v>53</v>
      </c>
    </row>
    <row r="17" customFormat="false" ht="15" hidden="false" customHeight="false" outlineLevel="0" collapsed="false">
      <c r="A17" s="4" t="s">
        <v>54</v>
      </c>
      <c r="B17" s="7" t="n">
        <f aca="false">B15*B16</f>
        <v>32156.25</v>
      </c>
      <c r="C17" s="15"/>
    </row>
    <row r="18" customFormat="false" ht="15" hidden="false" customHeight="false" outlineLevel="0" collapsed="false">
      <c r="A18" s="4" t="s">
        <v>55</v>
      </c>
      <c r="B18" s="7" t="n">
        <f aca="false">IFERROR(B4/B15,0)</f>
        <v>1142.85714285714</v>
      </c>
      <c r="C18" s="15"/>
    </row>
    <row r="19" customFormat="false" ht="15" hidden="false" customHeight="false" outlineLevel="0" collapsed="false">
      <c r="A19" s="4" t="s">
        <v>56</v>
      </c>
      <c r="B19" s="20" t="n">
        <f aca="false">IFERROR(B17/B4,0)</f>
        <v>2.1875</v>
      </c>
      <c r="C19" s="1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48"/>
  </cols>
  <sheetData>
    <row r="1" customFormat="false" ht="16.15" hidden="false" customHeight="false" outlineLevel="0" collapsed="false">
      <c r="A1" s="14" t="s">
        <v>58</v>
      </c>
    </row>
    <row r="3" customFormat="false" ht="15" hidden="false" customHeight="false" outlineLevel="0" collapsed="false">
      <c r="A3" s="3" t="s">
        <v>59</v>
      </c>
      <c r="B3" s="3" t="s">
        <v>60</v>
      </c>
      <c r="C3" s="3" t="s">
        <v>34</v>
      </c>
      <c r="D3" s="3" t="s">
        <v>61</v>
      </c>
      <c r="E3" s="3" t="s">
        <v>62</v>
      </c>
      <c r="F3" s="3" t="s">
        <v>42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67</v>
      </c>
      <c r="L3" s="3" t="s">
        <v>68</v>
      </c>
    </row>
    <row r="4" customFormat="false" ht="15" hidden="false" customHeight="false" outlineLevel="0" collapsed="false">
      <c r="A4" s="4" t="s">
        <v>69</v>
      </c>
      <c r="B4" s="6" t="n">
        <v>4200</v>
      </c>
      <c r="C4" s="21" t="n">
        <v>35000</v>
      </c>
      <c r="D4" s="21" t="n">
        <v>21000</v>
      </c>
      <c r="E4" s="21" t="n">
        <v>420</v>
      </c>
      <c r="F4" s="21" t="n">
        <v>30</v>
      </c>
      <c r="G4" s="22" t="n">
        <f aca="false">IFERROR(E4/C4,0)</f>
        <v>0.012</v>
      </c>
      <c r="H4" s="7" t="n">
        <f aca="false">IFERROR(B4/E4,0)</f>
        <v>10</v>
      </c>
      <c r="I4" s="7" t="n">
        <f aca="false">IFERROR(B4/C4*1000,0)</f>
        <v>120</v>
      </c>
      <c r="J4" s="7" t="n">
        <f aca="false">IFERROR(B4/F4,0)</f>
        <v>140</v>
      </c>
      <c r="K4" s="23" t="n">
        <f aca="false">IFERROR(C4/D4,0)</f>
        <v>1.66666666666667</v>
      </c>
      <c r="L4" s="4" t="s">
        <v>70</v>
      </c>
    </row>
    <row r="5" customFormat="false" ht="15" hidden="false" customHeight="false" outlineLevel="0" collapsed="false">
      <c r="A5" s="4" t="s">
        <v>71</v>
      </c>
      <c r="B5" s="6"/>
      <c r="C5" s="21"/>
      <c r="D5" s="21"/>
      <c r="E5" s="21"/>
      <c r="F5" s="21"/>
      <c r="G5" s="22" t="n">
        <f aca="false">IFERROR(E5/C5,0)</f>
        <v>0</v>
      </c>
      <c r="H5" s="7" t="n">
        <f aca="false">IFERROR(B5/E5,0)</f>
        <v>0</v>
      </c>
      <c r="I5" s="7" t="n">
        <f aca="false">IFERROR(B5/C5*1000,0)</f>
        <v>0</v>
      </c>
      <c r="J5" s="7" t="n">
        <f aca="false">IFERROR(B5/F5,0)</f>
        <v>0</v>
      </c>
      <c r="K5" s="23" t="n">
        <f aca="false">IFERROR(C5/D5,0)</f>
        <v>0</v>
      </c>
      <c r="L5" s="4"/>
    </row>
    <row r="6" customFormat="false" ht="15" hidden="false" customHeight="false" outlineLevel="0" collapsed="false">
      <c r="A6" s="4" t="s">
        <v>72</v>
      </c>
      <c r="B6" s="6"/>
      <c r="C6" s="21"/>
      <c r="D6" s="21"/>
      <c r="E6" s="21"/>
      <c r="F6" s="21"/>
      <c r="G6" s="22" t="n">
        <f aca="false">IFERROR(E6/C6,0)</f>
        <v>0</v>
      </c>
      <c r="H6" s="7" t="n">
        <f aca="false">IFERROR(B6/E6,0)</f>
        <v>0</v>
      </c>
      <c r="I6" s="7" t="n">
        <f aca="false">IFERROR(B6/C6*1000,0)</f>
        <v>0</v>
      </c>
      <c r="J6" s="7" t="n">
        <f aca="false">IFERROR(B6/F6,0)</f>
        <v>0</v>
      </c>
      <c r="K6" s="23" t="n">
        <f aca="false">IFERROR(C6/D6,0)</f>
        <v>0</v>
      </c>
      <c r="L6" s="4"/>
    </row>
    <row r="7" customFormat="false" ht="15" hidden="false" customHeight="false" outlineLevel="0" collapsed="false">
      <c r="A7" s="4" t="s">
        <v>73</v>
      </c>
      <c r="B7" s="6"/>
      <c r="C7" s="21"/>
      <c r="D7" s="21"/>
      <c r="E7" s="21"/>
      <c r="F7" s="21"/>
      <c r="G7" s="22" t="n">
        <f aca="false">IFERROR(E7/C7,0)</f>
        <v>0</v>
      </c>
      <c r="H7" s="7" t="n">
        <f aca="false">IFERROR(B7/E7,0)</f>
        <v>0</v>
      </c>
      <c r="I7" s="7" t="n">
        <f aca="false">IFERROR(B7/C7*1000,0)</f>
        <v>0</v>
      </c>
      <c r="J7" s="7" t="n">
        <f aca="false">IFERROR(B7/F7,0)</f>
        <v>0</v>
      </c>
      <c r="K7" s="23" t="n">
        <f aca="false">IFERROR(C7/D7,0)</f>
        <v>0</v>
      </c>
      <c r="L7" s="4"/>
    </row>
    <row r="8" customFormat="false" ht="15" hidden="false" customHeight="false" outlineLevel="0" collapsed="false">
      <c r="A8" s="4" t="s">
        <v>74</v>
      </c>
      <c r="B8" s="6"/>
      <c r="C8" s="21"/>
      <c r="D8" s="21"/>
      <c r="E8" s="21"/>
      <c r="F8" s="21"/>
      <c r="G8" s="22" t="n">
        <f aca="false">IFERROR(E8/C8,0)</f>
        <v>0</v>
      </c>
      <c r="H8" s="7" t="n">
        <f aca="false">IFERROR(B8/E8,0)</f>
        <v>0</v>
      </c>
      <c r="I8" s="7" t="n">
        <f aca="false">IFERROR(B8/C8*1000,0)</f>
        <v>0</v>
      </c>
      <c r="J8" s="7" t="n">
        <f aca="false">IFERROR(B8/F8,0)</f>
        <v>0</v>
      </c>
      <c r="K8" s="23" t="n">
        <f aca="false">IFERROR(C8/D8,0)</f>
        <v>0</v>
      </c>
      <c r="L8" s="4"/>
    </row>
    <row r="10" customFormat="false" ht="15" hidden="false" customHeight="false" outlineLevel="0" collapsed="false">
      <c r="A10" s="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2026-10-21T13:08:32Z</dcterms:created>
  <dc:creator>openpyxl</dc:creator>
  <dc:description/>
  <dc:language>en-US</dc:language>
  <cp:lastModifiedBy/>
  <dcterms:modified xsi:type="dcterms:W3CDTF">2026-10-21T13:08:33Z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